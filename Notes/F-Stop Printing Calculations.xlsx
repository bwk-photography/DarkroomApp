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lomar0-my.sharepoint.com/personal/bking1_palomar_edu/Documents/Desktop/"/>
    </mc:Choice>
  </mc:AlternateContent>
  <xr:revisionPtr revIDLastSave="623" documentId="8_{06B1E452-69C6-4D24-AC18-06748D5DF2CD}" xr6:coauthVersionLast="47" xr6:coauthVersionMax="47" xr10:uidLastSave="{B98795DD-AE62-428D-9B09-792C21E8B4A8}"/>
  <bookViews>
    <workbookView xWindow="-120" yWindow="-120" windowWidth="29040" windowHeight="17520" activeTab="2" xr2:uid="{7A3E26DA-8676-41C0-B233-AEE165B7CFD3}"/>
  </bookViews>
  <sheets>
    <sheet name="Worksheet" sheetId="2" r:id="rId1"/>
    <sheet name="Half-Stop Chart" sheetId="1" r:id="rId2"/>
    <sheet name="Full-Stop Chart" sheetId="3" r:id="rId3"/>
    <sheet name="Increments and Count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J7" i="2"/>
  <c r="J4" i="2"/>
  <c r="K3" i="2"/>
  <c r="K7" i="2" s="1"/>
  <c r="I3" i="2"/>
  <c r="I7" i="2" s="1"/>
  <c r="H20" i="3"/>
  <c r="O20" i="3" s="1"/>
  <c r="G20" i="3"/>
  <c r="N20" i="3" s="1"/>
  <c r="F20" i="3"/>
  <c r="M20" i="3" s="1"/>
  <c r="D20" i="3"/>
  <c r="K20" i="3" s="1"/>
  <c r="C20" i="3"/>
  <c r="J20" i="3" s="1"/>
  <c r="B20" i="3"/>
  <c r="I20" i="3" s="1"/>
  <c r="O19" i="3"/>
  <c r="N19" i="3"/>
  <c r="M19" i="3"/>
  <c r="L19" i="3"/>
  <c r="K19" i="3"/>
  <c r="J19" i="3"/>
  <c r="I19" i="3"/>
  <c r="H19" i="3"/>
  <c r="G19" i="3"/>
  <c r="F19" i="3"/>
  <c r="D19" i="3"/>
  <c r="C19" i="3"/>
  <c r="B19" i="3"/>
  <c r="H18" i="3"/>
  <c r="O18" i="3" s="1"/>
  <c r="G18" i="3"/>
  <c r="N18" i="3" s="1"/>
  <c r="F18" i="3"/>
  <c r="M18" i="3" s="1"/>
  <c r="D18" i="3"/>
  <c r="K18" i="3" s="1"/>
  <c r="C18" i="3"/>
  <c r="J18" i="3" s="1"/>
  <c r="B18" i="3"/>
  <c r="O17" i="3"/>
  <c r="H17" i="3"/>
  <c r="G17" i="3"/>
  <c r="N17" i="3" s="1"/>
  <c r="F17" i="3"/>
  <c r="M17" i="3" s="1"/>
  <c r="D17" i="3"/>
  <c r="K17" i="3" s="1"/>
  <c r="C17" i="3"/>
  <c r="J17" i="3" s="1"/>
  <c r="B17" i="3"/>
  <c r="I17" i="3" s="1"/>
  <c r="O16" i="3"/>
  <c r="N16" i="3"/>
  <c r="M16" i="3"/>
  <c r="L16" i="3"/>
  <c r="K16" i="3"/>
  <c r="J16" i="3"/>
  <c r="I16" i="3"/>
  <c r="H16" i="3"/>
  <c r="G16" i="3"/>
  <c r="F16" i="3"/>
  <c r="D16" i="3"/>
  <c r="C16" i="3"/>
  <c r="B16" i="3"/>
  <c r="H15" i="3"/>
  <c r="O15" i="3" s="1"/>
  <c r="G15" i="3"/>
  <c r="N15" i="3" s="1"/>
  <c r="F15" i="3"/>
  <c r="M15" i="3" s="1"/>
  <c r="D15" i="3"/>
  <c r="K15" i="3" s="1"/>
  <c r="C15" i="3"/>
  <c r="J15" i="3" s="1"/>
  <c r="B15" i="3"/>
  <c r="I15" i="3" s="1"/>
  <c r="O14" i="3"/>
  <c r="N14" i="3"/>
  <c r="H14" i="3"/>
  <c r="G14" i="3"/>
  <c r="F14" i="3"/>
  <c r="M14" i="3" s="1"/>
  <c r="D14" i="3"/>
  <c r="K14" i="3" s="1"/>
  <c r="C14" i="3"/>
  <c r="J14" i="3" s="1"/>
  <c r="B14" i="3"/>
  <c r="I14" i="3" s="1"/>
  <c r="O13" i="3"/>
  <c r="N13" i="3"/>
  <c r="M13" i="3"/>
  <c r="L13" i="3"/>
  <c r="K13" i="3"/>
  <c r="J13" i="3"/>
  <c r="I13" i="3"/>
  <c r="H13" i="3"/>
  <c r="G13" i="3"/>
  <c r="F13" i="3"/>
  <c r="D13" i="3"/>
  <c r="C13" i="3"/>
  <c r="B13" i="3"/>
  <c r="H12" i="3"/>
  <c r="O12" i="3" s="1"/>
  <c r="G12" i="3"/>
  <c r="N12" i="3" s="1"/>
  <c r="F12" i="3"/>
  <c r="M12" i="3" s="1"/>
  <c r="D12" i="3"/>
  <c r="K12" i="3" s="1"/>
  <c r="C12" i="3"/>
  <c r="J12" i="3" s="1"/>
  <c r="B12" i="3"/>
  <c r="I12" i="3" s="1"/>
  <c r="O11" i="3"/>
  <c r="N11" i="3"/>
  <c r="M11" i="3"/>
  <c r="H11" i="3"/>
  <c r="G11" i="3"/>
  <c r="F11" i="3"/>
  <c r="L11" i="3" s="1"/>
  <c r="D11" i="3"/>
  <c r="K11" i="3" s="1"/>
  <c r="C11" i="3"/>
  <c r="J11" i="3" s="1"/>
  <c r="B11" i="3"/>
  <c r="I11" i="3" s="1"/>
  <c r="M10" i="3"/>
  <c r="L10" i="3"/>
  <c r="K10" i="3"/>
  <c r="J10" i="3"/>
  <c r="I10" i="3"/>
  <c r="H10" i="3"/>
  <c r="O10" i="3" s="1"/>
  <c r="G10" i="3"/>
  <c r="F10" i="3"/>
  <c r="D10" i="3"/>
  <c r="C10" i="3"/>
  <c r="B10" i="3"/>
  <c r="H9" i="3"/>
  <c r="O9" i="3" s="1"/>
  <c r="G9" i="3"/>
  <c r="N9" i="3" s="1"/>
  <c r="F9" i="3"/>
  <c r="M9" i="3" s="1"/>
  <c r="D9" i="3"/>
  <c r="K9" i="3" s="1"/>
  <c r="C9" i="3"/>
  <c r="J9" i="3" s="1"/>
  <c r="B9" i="3"/>
  <c r="I9" i="3" s="1"/>
  <c r="O8" i="3"/>
  <c r="N8" i="3"/>
  <c r="M8" i="3"/>
  <c r="L8" i="3"/>
  <c r="H8" i="3"/>
  <c r="G8" i="3"/>
  <c r="F8" i="3"/>
  <c r="D8" i="3"/>
  <c r="K8" i="3" s="1"/>
  <c r="C8" i="3"/>
  <c r="J8" i="3" s="1"/>
  <c r="B8" i="3"/>
  <c r="I8" i="3" s="1"/>
  <c r="L7" i="3"/>
  <c r="K7" i="3"/>
  <c r="J7" i="3"/>
  <c r="I7" i="3"/>
  <c r="H7" i="3"/>
  <c r="O7" i="3" s="1"/>
  <c r="G7" i="3"/>
  <c r="N7" i="3" s="1"/>
  <c r="F7" i="3"/>
  <c r="D7" i="3"/>
  <c r="C7" i="3"/>
  <c r="B7" i="3"/>
  <c r="H6" i="3"/>
  <c r="O6" i="3" s="1"/>
  <c r="G6" i="3"/>
  <c r="N6" i="3" s="1"/>
  <c r="F6" i="3"/>
  <c r="M6" i="3" s="1"/>
  <c r="K6" i="3"/>
  <c r="C6" i="3"/>
  <c r="J6" i="3" s="1"/>
  <c r="B6" i="3"/>
  <c r="I6" i="3" s="1"/>
  <c r="O5" i="3"/>
  <c r="N5" i="3"/>
  <c r="M5" i="3"/>
  <c r="L5" i="3"/>
  <c r="K5" i="3"/>
  <c r="H5" i="3"/>
  <c r="G5" i="3"/>
  <c r="F5" i="3"/>
  <c r="D5" i="3"/>
  <c r="C5" i="3"/>
  <c r="J5" i="3" s="1"/>
  <c r="B5" i="3"/>
  <c r="I5" i="3" s="1"/>
  <c r="K4" i="3"/>
  <c r="J4" i="3"/>
  <c r="I4" i="3"/>
  <c r="H4" i="3"/>
  <c r="O4" i="3" s="1"/>
  <c r="G4" i="3"/>
  <c r="N4" i="3" s="1"/>
  <c r="F4" i="3"/>
  <c r="M4" i="3" s="1"/>
  <c r="D4" i="3"/>
  <c r="C4" i="3"/>
  <c r="B4" i="3"/>
  <c r="H3" i="3"/>
  <c r="O3" i="3" s="1"/>
  <c r="G3" i="3"/>
  <c r="N3" i="3" s="1"/>
  <c r="F3" i="3"/>
  <c r="L3" i="3" s="1"/>
  <c r="D3" i="3"/>
  <c r="K3" i="3" s="1"/>
  <c r="C3" i="3"/>
  <c r="J3" i="3" s="1"/>
  <c r="B3" i="3"/>
  <c r="I3" i="3" s="1"/>
  <c r="M8" i="1"/>
  <c r="H20" i="1"/>
  <c r="O20" i="1" s="1"/>
  <c r="G20" i="1"/>
  <c r="F20" i="1"/>
  <c r="H19" i="1"/>
  <c r="O19" i="1" s="1"/>
  <c r="G19" i="1"/>
  <c r="F19" i="1"/>
  <c r="H18" i="1"/>
  <c r="O18" i="1" s="1"/>
  <c r="G18" i="1"/>
  <c r="N18" i="1" s="1"/>
  <c r="F18" i="1"/>
  <c r="L18" i="1" s="1"/>
  <c r="H17" i="1"/>
  <c r="O17" i="1" s="1"/>
  <c r="G17" i="1"/>
  <c r="F17" i="1"/>
  <c r="H16" i="1"/>
  <c r="O16" i="1" s="1"/>
  <c r="G16" i="1"/>
  <c r="F16" i="1"/>
  <c r="L16" i="1" s="1"/>
  <c r="H15" i="1"/>
  <c r="O15" i="1" s="1"/>
  <c r="G15" i="1"/>
  <c r="F15" i="1"/>
  <c r="M15" i="1" s="1"/>
  <c r="H14" i="1"/>
  <c r="O14" i="1" s="1"/>
  <c r="G14" i="1"/>
  <c r="N14" i="1" s="1"/>
  <c r="F14" i="1"/>
  <c r="H13" i="1"/>
  <c r="O13" i="1" s="1"/>
  <c r="G13" i="1"/>
  <c r="F13" i="1"/>
  <c r="H12" i="1"/>
  <c r="O12" i="1" s="1"/>
  <c r="G12" i="1"/>
  <c r="F12" i="1"/>
  <c r="L12" i="1" s="1"/>
  <c r="H11" i="1"/>
  <c r="O11" i="1" s="1"/>
  <c r="G11" i="1"/>
  <c r="N11" i="1" s="1"/>
  <c r="F11" i="1"/>
  <c r="H10" i="1"/>
  <c r="O10" i="1" s="1"/>
  <c r="G10" i="1"/>
  <c r="F10" i="1"/>
  <c r="H9" i="1"/>
  <c r="O9" i="1" s="1"/>
  <c r="G9" i="1"/>
  <c r="F9" i="1"/>
  <c r="H8" i="1"/>
  <c r="O8" i="1" s="1"/>
  <c r="G8" i="1"/>
  <c r="N8" i="1" s="1"/>
  <c r="F8" i="1"/>
  <c r="L8" i="1" s="1"/>
  <c r="H7" i="1"/>
  <c r="O7" i="1" s="1"/>
  <c r="G7" i="1"/>
  <c r="F7" i="1"/>
  <c r="H6" i="1"/>
  <c r="O6" i="1" s="1"/>
  <c r="G6" i="1"/>
  <c r="F6" i="1"/>
  <c r="H5" i="1"/>
  <c r="O5" i="1" s="1"/>
  <c r="G5" i="1"/>
  <c r="F5" i="1"/>
  <c r="L5" i="1" s="1"/>
  <c r="H4" i="1"/>
  <c r="O4" i="1" s="1"/>
  <c r="G4" i="1"/>
  <c r="N4" i="1" s="1"/>
  <c r="F4" i="1"/>
  <c r="H3" i="1"/>
  <c r="O3" i="1" s="1"/>
  <c r="G3" i="1"/>
  <c r="F3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20" i="1"/>
  <c r="D19" i="1"/>
  <c r="K19" i="1" s="1"/>
  <c r="D18" i="1"/>
  <c r="K18" i="1" s="1"/>
  <c r="D17" i="1"/>
  <c r="D16" i="1"/>
  <c r="K16" i="1" s="1"/>
  <c r="D15" i="1"/>
  <c r="K15" i="1" s="1"/>
  <c r="D14" i="1"/>
  <c r="K14" i="1" s="1"/>
  <c r="D13" i="1"/>
  <c r="K13" i="1" s="1"/>
  <c r="D12" i="1"/>
  <c r="K12" i="1" s="1"/>
  <c r="D11" i="1"/>
  <c r="K11" i="1" s="1"/>
  <c r="D10" i="1"/>
  <c r="K10" i="1" s="1"/>
  <c r="D9" i="1"/>
  <c r="K9" i="1" s="1"/>
  <c r="D8" i="1"/>
  <c r="K8" i="1" s="1"/>
  <c r="D7" i="1"/>
  <c r="K7" i="1" s="1"/>
  <c r="D6" i="1"/>
  <c r="K6" i="1" s="1"/>
  <c r="D5" i="1"/>
  <c r="K5" i="1" s="1"/>
  <c r="D4" i="1"/>
  <c r="K4" i="1" s="1"/>
  <c r="D3" i="1"/>
  <c r="K3" i="1" s="1"/>
  <c r="I4" i="2" l="1"/>
  <c r="I8" i="2" s="1"/>
  <c r="K4" i="2"/>
  <c r="L3" i="2"/>
  <c r="M3" i="2" s="1"/>
  <c r="M4" i="2" s="1"/>
  <c r="H3" i="2"/>
  <c r="H4" i="2" s="1"/>
  <c r="M7" i="1"/>
  <c r="N20" i="1"/>
  <c r="I18" i="3"/>
  <c r="L18" i="3"/>
  <c r="L9" i="3"/>
  <c r="M7" i="3"/>
  <c r="N10" i="3"/>
  <c r="M3" i="3"/>
  <c r="L20" i="3"/>
  <c r="L15" i="3"/>
  <c r="L12" i="3"/>
  <c r="L17" i="3"/>
  <c r="L4" i="3"/>
  <c r="L6" i="3"/>
  <c r="L14" i="3"/>
  <c r="N6" i="1"/>
  <c r="M13" i="1"/>
  <c r="M11" i="1"/>
  <c r="I10" i="1"/>
  <c r="I14" i="1"/>
  <c r="N3" i="1"/>
  <c r="M10" i="1"/>
  <c r="J3" i="1"/>
  <c r="J4" i="1"/>
  <c r="M4" i="1"/>
  <c r="N17" i="1"/>
  <c r="J13" i="1"/>
  <c r="J14" i="1"/>
  <c r="N7" i="1"/>
  <c r="M14" i="1"/>
  <c r="I16" i="1"/>
  <c r="J10" i="1"/>
  <c r="M6" i="1"/>
  <c r="N19" i="1"/>
  <c r="J11" i="1"/>
  <c r="J12" i="1"/>
  <c r="N13" i="1"/>
  <c r="M20" i="1"/>
  <c r="I17" i="1"/>
  <c r="L13" i="1"/>
  <c r="J17" i="1"/>
  <c r="J20" i="1"/>
  <c r="J5" i="1"/>
  <c r="J6" i="1"/>
  <c r="I20" i="1"/>
  <c r="I7" i="1"/>
  <c r="L15" i="1"/>
  <c r="M16" i="1"/>
  <c r="J8" i="1"/>
  <c r="N5" i="1"/>
  <c r="I19" i="1"/>
  <c r="J9" i="1"/>
  <c r="N12" i="1"/>
  <c r="M19" i="1"/>
  <c r="N15" i="1"/>
  <c r="J16" i="1"/>
  <c r="I3" i="1"/>
  <c r="I11" i="1"/>
  <c r="I13" i="1"/>
  <c r="J15" i="1"/>
  <c r="N10" i="1"/>
  <c r="M17" i="1"/>
  <c r="I9" i="1"/>
  <c r="I12" i="1"/>
  <c r="L4" i="1"/>
  <c r="M12" i="1"/>
  <c r="I15" i="1"/>
  <c r="L10" i="1"/>
  <c r="J7" i="1"/>
  <c r="M9" i="1"/>
  <c r="M18" i="1"/>
  <c r="I5" i="1"/>
  <c r="I6" i="1"/>
  <c r="J18" i="1"/>
  <c r="I18" i="1"/>
  <c r="L7" i="1"/>
  <c r="M3" i="1"/>
  <c r="I4" i="1"/>
  <c r="N9" i="1"/>
  <c r="N16" i="1"/>
  <c r="L17" i="1"/>
  <c r="K20" i="1"/>
  <c r="L20" i="1"/>
  <c r="M5" i="1"/>
  <c r="K17" i="1"/>
  <c r="L3" i="1"/>
  <c r="L6" i="1"/>
  <c r="L14" i="1"/>
  <c r="L9" i="1"/>
  <c r="J19" i="1"/>
  <c r="I8" i="1"/>
  <c r="L19" i="1"/>
  <c r="L11" i="1"/>
  <c r="L7" i="2" l="1"/>
  <c r="L4" i="2"/>
  <c r="H8" i="2"/>
  <c r="G3" i="2"/>
  <c r="G4" i="2" s="1"/>
  <c r="H7" i="2"/>
  <c r="N3" i="2"/>
  <c r="N4" i="2" s="1"/>
  <c r="M7" i="2"/>
  <c r="J8" i="2"/>
  <c r="K8" i="2" l="1"/>
  <c r="L8" i="2"/>
  <c r="F3" i="2"/>
  <c r="F4" i="2" s="1"/>
  <c r="G7" i="2"/>
  <c r="G8" i="2"/>
  <c r="N7" i="2"/>
  <c r="O3" i="2"/>
  <c r="O4" i="2" s="1"/>
  <c r="M8" i="2" l="1"/>
  <c r="N8" i="2" s="1"/>
  <c r="O7" i="2"/>
  <c r="F7" i="2"/>
  <c r="E3" i="2"/>
  <c r="E4" i="2" s="1"/>
  <c r="E8" i="2" s="1"/>
  <c r="F8" i="2"/>
  <c r="O8" i="2" l="1"/>
  <c r="E7" i="2"/>
</calcChain>
</file>

<file path=xl/sharedStrings.xml><?xml version="1.0" encoding="utf-8"?>
<sst xmlns="http://schemas.openxmlformats.org/spreadsheetml/2006/main" count="18" uniqueCount="10">
  <si>
    <t>BASE</t>
  </si>
  <si>
    <t>TOTAL TIMES</t>
  </si>
  <si>
    <t>TEST STRIP TIMES</t>
  </si>
  <si>
    <t>Half-Stop</t>
  </si>
  <si>
    <t>Full Stop</t>
  </si>
  <si>
    <t>Base Time</t>
  </si>
  <si>
    <t>F-Stop Increments</t>
  </si>
  <si>
    <t>Increments</t>
  </si>
  <si>
    <t>Test Strip Count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</si>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</sst>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 textRotation="90"/>
    </xf>
    <xf numFmtId="2" fontId="1" fillId="4" borderId="8" xfId="0" applyNumberFormat="1" applyFont="1" applyFill="1" applyBorder="1" applyAlignment="1">
      <alignment horizontal="center" vertical="center" textRotation="90"/>
    </xf>
    <xf numFmtId="2" fontId="1" fillId="4" borderId="9" xfId="0" applyNumberFormat="1" applyFont="1" applyFill="1" applyBorder="1" applyAlignment="1">
      <alignment horizontal="center" vertical="center" textRotation="90"/>
    </xf>
    <xf numFmtId="164" fontId="1" fillId="0" borderId="1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 textRotation="90"/>
    </xf>
    <xf numFmtId="2" fontId="1" fillId="3" borderId="8" xfId="0" applyNumberFormat="1" applyFont="1" applyFill="1" applyBorder="1" applyAlignment="1">
      <alignment horizontal="center" vertical="center" textRotation="90"/>
    </xf>
    <xf numFmtId="2" fontId="1" fillId="3" borderId="9" xfId="0" applyNumberFormat="1" applyFont="1" applyFill="1" applyBorder="1" applyAlignment="1">
      <alignment horizontal="center" vertical="center" textRotation="90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DB53-7161-4C86-BD3E-61F57DDE8033}">
  <dimension ref="B1:O8"/>
  <sheetViews>
    <sheetView workbookViewId="0">
      <selection activeCell="C4" sqref="C4"/>
    </sheetView>
  </sheetViews>
  <sheetFormatPr defaultRowHeight="15" x14ac:dyDescent="0.25"/>
  <cols>
    <col min="2" max="2" width="19.42578125" style="26" customWidth="1"/>
    <col min="3" max="3" width="8.85546875" style="35" customWidth="1"/>
    <col min="4" max="4" width="7" style="4" customWidth="1"/>
    <col min="5" max="9" width="6.7109375" style="9" customWidth="1"/>
    <col min="10" max="10" width="8.42578125" style="9" bestFit="1" customWidth="1"/>
    <col min="11" max="11" width="8.140625" style="9" bestFit="1" customWidth="1"/>
    <col min="12" max="12" width="6.7109375" style="9" customWidth="1"/>
    <col min="13" max="13" width="8.140625" style="9" bestFit="1" customWidth="1"/>
    <col min="14" max="15" width="6.7109375" style="9" customWidth="1"/>
  </cols>
  <sheetData>
    <row r="1" spans="2:15" ht="15.75" thickBot="1" x14ac:dyDescent="0.3"/>
    <row r="2" spans="2:15" x14ac:dyDescent="0.25">
      <c r="B2" s="27" t="s">
        <v>5</v>
      </c>
      <c r="C2" s="35">
        <v>2</v>
      </c>
      <c r="E2" s="36" t="s">
        <v>1</v>
      </c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2:15" x14ac:dyDescent="0.25">
      <c r="B3" s="27" t="s">
        <v>6</v>
      </c>
      <c r="C3" s="35">
        <v>0.3</v>
      </c>
      <c r="E3" s="29">
        <f>C3+F3</f>
        <v>1.5</v>
      </c>
      <c r="F3" s="28">
        <f>C3+G3</f>
        <v>1.2</v>
      </c>
      <c r="G3" s="28">
        <f>C3+H3</f>
        <v>0.89999999999999991</v>
      </c>
      <c r="H3" s="28">
        <f>C3+I3</f>
        <v>0.6</v>
      </c>
      <c r="I3" s="28">
        <f>C3</f>
        <v>0.3</v>
      </c>
      <c r="J3" s="28" t="s">
        <v>0</v>
      </c>
      <c r="K3" s="28">
        <f>-C3</f>
        <v>-0.3</v>
      </c>
      <c r="L3" s="28">
        <f>-C3+K3</f>
        <v>-0.6</v>
      </c>
      <c r="M3" s="28">
        <f>-C3+L3</f>
        <v>-0.89999999999999991</v>
      </c>
      <c r="N3" s="28">
        <f>-C3+M3</f>
        <v>-1.2</v>
      </c>
      <c r="O3" s="30">
        <f>-C3+N3</f>
        <v>-1.5</v>
      </c>
    </row>
    <row r="4" spans="2:15" ht="15.75" thickBot="1" x14ac:dyDescent="0.3">
      <c r="B4" s="27" t="s">
        <v>8</v>
      </c>
      <c r="C4" s="35">
        <v>8</v>
      </c>
      <c r="E4" s="31" t="str">
        <f>IF(C4&gt;=11,C2*2^E3,"-")</f>
        <v>-</v>
      </c>
      <c r="F4" s="32" t="str">
        <f>IF(C4&gt;=9,C2*2^F3,"-")</f>
        <v>-</v>
      </c>
      <c r="G4" s="32">
        <f>IF(C4&gt;=7,C2*2^G3,"-")</f>
        <v>3.7321319661472296</v>
      </c>
      <c r="H4" s="32">
        <f>IF(C4&gt;=5,C2*2^H3,"-")</f>
        <v>3.031433133020796</v>
      </c>
      <c r="I4" s="32">
        <f>IF(C4&gt;=3,C2*2^I3,"-")</f>
        <v>2.4622888266898326</v>
      </c>
      <c r="J4" s="33">
        <f>C2</f>
        <v>2</v>
      </c>
      <c r="K4" s="32">
        <f>IF(C4&gt;=2,C2*2^K3,"-")</f>
        <v>1.6245047927124709</v>
      </c>
      <c r="L4" s="32">
        <f>IF(C4&gt;=4,C2*2^L3,"-")</f>
        <v>1.3195079107728944</v>
      </c>
      <c r="M4" s="32">
        <f>IF(C4&gt;=6,C2*2^M3,"-")</f>
        <v>1.0717734625362931</v>
      </c>
      <c r="N4" s="32">
        <f>IF(C4&gt;=8,C2*2^N3,"-")</f>
        <v>0.87055056329612412</v>
      </c>
      <c r="O4" s="34" t="str">
        <f>IF(C4&gt;=10,C2*2^O3,"-")</f>
        <v>-</v>
      </c>
    </row>
    <row r="5" spans="2:15" ht="15.75" thickBot="1" x14ac:dyDescent="0.3"/>
    <row r="6" spans="2:15" x14ac:dyDescent="0.25">
      <c r="E6" s="36" t="s">
        <v>1</v>
      </c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2:15" x14ac:dyDescent="0.25">
      <c r="E7" s="29">
        <f t="shared" ref="E7:H7" si="0">E3</f>
        <v>1.5</v>
      </c>
      <c r="F7" s="28">
        <f t="shared" si="0"/>
        <v>1.2</v>
      </c>
      <c r="G7" s="28">
        <f t="shared" si="0"/>
        <v>0.89999999999999991</v>
      </c>
      <c r="H7" s="28">
        <f t="shared" si="0"/>
        <v>0.6</v>
      </c>
      <c r="I7" s="28">
        <f>I3</f>
        <v>0.3</v>
      </c>
      <c r="J7" s="28" t="str">
        <f>J3</f>
        <v>BASE</v>
      </c>
      <c r="K7" s="28">
        <f t="shared" ref="K7:O7" si="1">K3</f>
        <v>-0.3</v>
      </c>
      <c r="L7" s="28">
        <f t="shared" si="1"/>
        <v>-0.6</v>
      </c>
      <c r="M7" s="28">
        <f t="shared" si="1"/>
        <v>-0.89999999999999991</v>
      </c>
      <c r="N7" s="28">
        <f t="shared" si="1"/>
        <v>-1.2</v>
      </c>
      <c r="O7" s="30">
        <f t="shared" si="1"/>
        <v>-1.5</v>
      </c>
    </row>
    <row r="8" spans="2:15" ht="15.75" thickBot="1" x14ac:dyDescent="0.3">
      <c r="E8" s="31" t="str">
        <f>IF(C4=11,E4-F4,"-")</f>
        <v>-</v>
      </c>
      <c r="F8" s="32" t="str">
        <f>IF(C4&gt;=9,F4-G4,"-")</f>
        <v>-</v>
      </c>
      <c r="G8" s="32">
        <f>IF(C4&gt;=7,G4-H4,"-")</f>
        <v>0.70069883312643366</v>
      </c>
      <c r="H8" s="32">
        <f>IF(C4&gt;=5,H4-I4,"-")</f>
        <v>0.56914430633096336</v>
      </c>
      <c r="I8" s="32">
        <f>IF(C4&gt;=3,I4-J4,"-")</f>
        <v>0.46228882668983262</v>
      </c>
      <c r="J8" s="33">
        <f>J4-K4</f>
        <v>0.37549520728752905</v>
      </c>
      <c r="K8" s="32">
        <f>IF(C4=2,J4-J8,IF(C4=3,C2-J8,IF(C4&gt;3,K4-L4,"-")))</f>
        <v>0.30499688193957653</v>
      </c>
      <c r="L8" s="32">
        <f>IF(OR(C4=4,C4=5),C2-SUM(J8:K8),IF(C4&gt;5,L4-M4,"-"))</f>
        <v>0.24773444823660129</v>
      </c>
      <c r="M8" s="32">
        <f>IF(OR(C4=6,C4=7),C2-SUM(J8:L8),IF(C4&gt;7,M4-N4,"-"))</f>
        <v>0.20122289924016901</v>
      </c>
      <c r="N8" s="32">
        <f>IF(OR(C4=8,C4=9),C2-SUM(J8:M8),IF(C4&gt;9,N4-O4,"-"))</f>
        <v>0.87055056329612412</v>
      </c>
      <c r="O8" s="34" t="str">
        <f>IF(OR(C4=10,C4=11),C2-SUM(J8:N8),IF(C4&gt;11,O4,"-"))</f>
        <v>-</v>
      </c>
    </row>
  </sheetData>
  <mergeCells count="2">
    <mergeCell ref="E6:O6"/>
    <mergeCell ref="E2:O2"/>
  </mergeCells>
  <conditionalFormatting sqref="E4:O4 E8:O8">
    <cfRule type="cellIs" dxfId="0" priority="1" operator="equal">
      <formula>"-"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8D8CD2-52A3-437E-A18B-751686D09B38}">
          <x14:formula1>
            <xm:f>'Increments and Counts'!$C$2:$C$11</xm:f>
          </x14:formula1>
          <xm:sqref>C4</xm:sqref>
        </x14:dataValidation>
        <x14:dataValidation type="list" allowBlank="1" showInputMessage="1" showErrorMessage="1" xr:uid="{CF90E382-5DA5-494E-BD4C-60ABCFA082BE}">
          <x14:formula1>
            <xm:f>'Increments and Counts'!$A$2:$A$7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4206-69C9-455E-8AF3-5D0D8B191E70}">
  <dimension ref="A1:AG20"/>
  <sheetViews>
    <sheetView workbookViewId="0">
      <selection activeCell="M5" sqref="M5"/>
    </sheetView>
  </sheetViews>
  <sheetFormatPr defaultRowHeight="15" x14ac:dyDescent="0.25"/>
  <cols>
    <col min="1" max="1" width="4.85546875" style="1" customWidth="1"/>
    <col min="2" max="15" width="7.5703125" style="1" customWidth="1"/>
    <col min="16" max="18" width="9.140625" style="1"/>
    <col min="19" max="33" width="9.140625" style="9"/>
    <col min="34" max="16384" width="9.140625" style="1"/>
  </cols>
  <sheetData>
    <row r="1" spans="1:15" ht="15.75" thickBot="1" x14ac:dyDescent="0.3">
      <c r="A1" s="39" t="s">
        <v>3</v>
      </c>
      <c r="B1" s="42" t="s">
        <v>1</v>
      </c>
      <c r="C1" s="42"/>
      <c r="D1" s="42"/>
      <c r="E1" s="42"/>
      <c r="F1" s="42"/>
      <c r="G1" s="42"/>
      <c r="H1" s="42"/>
      <c r="I1" s="43" t="s">
        <v>2</v>
      </c>
      <c r="J1" s="42"/>
      <c r="K1" s="42"/>
      <c r="L1" s="42"/>
      <c r="M1" s="42"/>
      <c r="N1" s="42"/>
      <c r="O1" s="44"/>
    </row>
    <row r="2" spans="1:15" ht="15.75" thickBot="1" x14ac:dyDescent="0.3">
      <c r="A2" s="40"/>
      <c r="B2" s="5">
        <v>1.5</v>
      </c>
      <c r="C2" s="6">
        <v>1</v>
      </c>
      <c r="D2" s="5">
        <v>0.5</v>
      </c>
      <c r="E2" s="6" t="s">
        <v>0</v>
      </c>
      <c r="F2" s="5">
        <v>-0.5</v>
      </c>
      <c r="G2" s="6">
        <v>-1</v>
      </c>
      <c r="H2" s="5">
        <v>-1.5</v>
      </c>
      <c r="I2" s="6">
        <v>1.5</v>
      </c>
      <c r="J2" s="5">
        <v>1</v>
      </c>
      <c r="K2" s="14">
        <v>0.5</v>
      </c>
      <c r="L2" s="6" t="s">
        <v>0</v>
      </c>
      <c r="M2" s="15">
        <v>-0.5</v>
      </c>
      <c r="N2" s="5">
        <v>-1</v>
      </c>
      <c r="O2" s="6">
        <v>-1.5</v>
      </c>
    </row>
    <row r="3" spans="1:15" x14ac:dyDescent="0.25">
      <c r="A3" s="40"/>
      <c r="B3" s="7">
        <f t="shared" ref="B3:B20" si="0">E3*2^1.5</f>
        <v>14.142135623730949</v>
      </c>
      <c r="C3" s="7">
        <f t="shared" ref="C3:C20" si="1">E3*2^1</f>
        <v>10</v>
      </c>
      <c r="D3" s="7">
        <f t="shared" ref="D3:D20" si="2">E3*2^0.5</f>
        <v>7.0710678118654755</v>
      </c>
      <c r="E3" s="8">
        <v>5</v>
      </c>
      <c r="F3" s="7">
        <f t="shared" ref="F3:F20" si="3">E3*2^-0.5</f>
        <v>3.5355339059327373</v>
      </c>
      <c r="G3" s="7">
        <f t="shared" ref="G3:G20" si="4">E3*2^-1</f>
        <v>2.5</v>
      </c>
      <c r="H3" s="7">
        <f t="shared" ref="H3:H20" si="5">E3*2^-1.5</f>
        <v>1.7677669529663689</v>
      </c>
      <c r="I3" s="16">
        <f t="shared" ref="I3:I20" si="6">B3-C3</f>
        <v>4.1421356237309492</v>
      </c>
      <c r="J3" s="7">
        <f t="shared" ref="J3:J20" si="7">C3-D3</f>
        <v>2.9289321881345245</v>
      </c>
      <c r="K3" s="7">
        <f t="shared" ref="K3:K20" si="8">D3-E3</f>
        <v>2.0710678118654755</v>
      </c>
      <c r="L3" s="11">
        <f t="shared" ref="L3:L20" si="9">E3-F3</f>
        <v>1.4644660940672627</v>
      </c>
      <c r="M3" s="7">
        <f t="shared" ref="M3:M20" si="10">F3-G3</f>
        <v>1.0355339059327373</v>
      </c>
      <c r="N3" s="7">
        <f t="shared" ref="N3:N20" si="11">G3-H3</f>
        <v>0.73223304703363112</v>
      </c>
      <c r="O3" s="2">
        <f t="shared" ref="O3:O20" si="12">H3</f>
        <v>1.7677669529663689</v>
      </c>
    </row>
    <row r="4" spans="1:15" x14ac:dyDescent="0.25">
      <c r="A4" s="40"/>
      <c r="B4" s="9">
        <f t="shared" si="0"/>
        <v>22.627416997969519</v>
      </c>
      <c r="C4" s="9">
        <f t="shared" si="1"/>
        <v>16</v>
      </c>
      <c r="D4" s="9">
        <f t="shared" si="2"/>
        <v>11.313708498984761</v>
      </c>
      <c r="E4" s="10">
        <v>8</v>
      </c>
      <c r="F4" s="9">
        <f t="shared" si="3"/>
        <v>5.6568542494923797</v>
      </c>
      <c r="G4" s="9">
        <f t="shared" si="4"/>
        <v>4</v>
      </c>
      <c r="H4" s="9">
        <f t="shared" si="5"/>
        <v>2.8284271247461903</v>
      </c>
      <c r="I4" s="17">
        <f t="shared" si="6"/>
        <v>6.6274169979695188</v>
      </c>
      <c r="J4" s="9">
        <f t="shared" si="7"/>
        <v>4.6862915010152388</v>
      </c>
      <c r="K4" s="9">
        <f t="shared" si="8"/>
        <v>3.3137084989847612</v>
      </c>
      <c r="L4" s="10">
        <f t="shared" si="9"/>
        <v>2.3431457505076203</v>
      </c>
      <c r="M4" s="9">
        <f t="shared" si="10"/>
        <v>1.6568542494923797</v>
      </c>
      <c r="N4" s="9">
        <f t="shared" si="11"/>
        <v>1.1715728752538097</v>
      </c>
      <c r="O4" s="20">
        <f t="shared" si="12"/>
        <v>2.8284271247461903</v>
      </c>
    </row>
    <row r="5" spans="1:15" x14ac:dyDescent="0.25">
      <c r="A5" s="40"/>
      <c r="B5" s="7">
        <f t="shared" si="0"/>
        <v>28.284271247461898</v>
      </c>
      <c r="C5" s="7">
        <f t="shared" si="1"/>
        <v>20</v>
      </c>
      <c r="D5" s="7">
        <f t="shared" si="2"/>
        <v>14.142135623730951</v>
      </c>
      <c r="E5" s="11">
        <v>10</v>
      </c>
      <c r="F5" s="7">
        <f t="shared" si="3"/>
        <v>7.0710678118654746</v>
      </c>
      <c r="G5" s="7">
        <f t="shared" si="4"/>
        <v>5</v>
      </c>
      <c r="H5" s="7">
        <f t="shared" si="5"/>
        <v>3.5355339059327378</v>
      </c>
      <c r="I5" s="16">
        <f t="shared" si="6"/>
        <v>8.2842712474618985</v>
      </c>
      <c r="J5" s="7">
        <f t="shared" si="7"/>
        <v>5.857864376269049</v>
      </c>
      <c r="K5" s="7">
        <f t="shared" si="8"/>
        <v>4.142135623730951</v>
      </c>
      <c r="L5" s="11">
        <f t="shared" si="9"/>
        <v>2.9289321881345254</v>
      </c>
      <c r="M5" s="7">
        <f t="shared" si="10"/>
        <v>2.0710678118654746</v>
      </c>
      <c r="N5" s="7">
        <f t="shared" si="11"/>
        <v>1.4644660940672622</v>
      </c>
      <c r="O5" s="18">
        <f t="shared" si="12"/>
        <v>3.5355339059327378</v>
      </c>
    </row>
    <row r="6" spans="1:15" x14ac:dyDescent="0.25">
      <c r="A6" s="40"/>
      <c r="B6" s="9">
        <f t="shared" si="0"/>
        <v>33.941125496954278</v>
      </c>
      <c r="C6" s="9">
        <f t="shared" si="1"/>
        <v>24</v>
      </c>
      <c r="D6" s="9">
        <f t="shared" si="2"/>
        <v>16.970562748477143</v>
      </c>
      <c r="E6" s="10">
        <v>12</v>
      </c>
      <c r="F6" s="9">
        <f t="shared" si="3"/>
        <v>8.4852813742385695</v>
      </c>
      <c r="G6" s="9">
        <f t="shared" si="4"/>
        <v>6</v>
      </c>
      <c r="H6" s="9">
        <f t="shared" si="5"/>
        <v>4.2426406871192857</v>
      </c>
      <c r="I6" s="17">
        <f t="shared" si="6"/>
        <v>9.9411254969542782</v>
      </c>
      <c r="J6" s="9">
        <f t="shared" si="7"/>
        <v>7.0294372515228574</v>
      </c>
      <c r="K6" s="9">
        <f t="shared" si="8"/>
        <v>4.9705627484771426</v>
      </c>
      <c r="L6" s="10">
        <f t="shared" si="9"/>
        <v>3.5147186257614305</v>
      </c>
      <c r="M6" s="9">
        <f t="shared" si="10"/>
        <v>2.4852813742385695</v>
      </c>
      <c r="N6" s="9">
        <f t="shared" si="11"/>
        <v>1.7573593128807143</v>
      </c>
      <c r="O6" s="20">
        <f t="shared" si="12"/>
        <v>4.2426406871192857</v>
      </c>
    </row>
    <row r="7" spans="1:15" x14ac:dyDescent="0.25">
      <c r="A7" s="40"/>
      <c r="B7" s="7">
        <f t="shared" si="0"/>
        <v>42.426406871192846</v>
      </c>
      <c r="C7" s="7">
        <f t="shared" si="1"/>
        <v>30</v>
      </c>
      <c r="D7" s="7">
        <f t="shared" si="2"/>
        <v>21.213203435596427</v>
      </c>
      <c r="E7" s="11">
        <v>15</v>
      </c>
      <c r="F7" s="7">
        <f t="shared" si="3"/>
        <v>10.606601717798211</v>
      </c>
      <c r="G7" s="7">
        <f t="shared" si="4"/>
        <v>7.5</v>
      </c>
      <c r="H7" s="7">
        <f t="shared" si="5"/>
        <v>5.3033008588991066</v>
      </c>
      <c r="I7" s="16">
        <f t="shared" si="6"/>
        <v>12.426406871192846</v>
      </c>
      <c r="J7" s="7">
        <f t="shared" si="7"/>
        <v>8.7867965644035735</v>
      </c>
      <c r="K7" s="7">
        <f t="shared" si="8"/>
        <v>6.2132034355964265</v>
      </c>
      <c r="L7" s="11">
        <f t="shared" si="9"/>
        <v>4.3933982822017885</v>
      </c>
      <c r="M7" s="7">
        <f t="shared" si="10"/>
        <v>3.1066017177982115</v>
      </c>
      <c r="N7" s="7">
        <f t="shared" si="11"/>
        <v>2.1966991411008934</v>
      </c>
      <c r="O7" s="18">
        <f t="shared" si="12"/>
        <v>5.3033008588991066</v>
      </c>
    </row>
    <row r="8" spans="1:15" x14ac:dyDescent="0.25">
      <c r="A8" s="40"/>
      <c r="B8" s="9">
        <f t="shared" si="0"/>
        <v>56.568542494923797</v>
      </c>
      <c r="C8" s="9">
        <f t="shared" si="1"/>
        <v>40</v>
      </c>
      <c r="D8" s="9">
        <f t="shared" si="2"/>
        <v>28.284271247461902</v>
      </c>
      <c r="E8" s="10">
        <v>20</v>
      </c>
      <c r="F8" s="9">
        <f t="shared" si="3"/>
        <v>14.142135623730949</v>
      </c>
      <c r="G8" s="9">
        <f t="shared" si="4"/>
        <v>10</v>
      </c>
      <c r="H8" s="9">
        <f t="shared" si="5"/>
        <v>7.0710678118654755</v>
      </c>
      <c r="I8" s="17">
        <f t="shared" si="6"/>
        <v>16.568542494923797</v>
      </c>
      <c r="J8" s="9">
        <f t="shared" si="7"/>
        <v>11.715728752538098</v>
      </c>
      <c r="K8" s="9">
        <f t="shared" si="8"/>
        <v>8.284271247461902</v>
      </c>
      <c r="L8" s="10">
        <f t="shared" si="9"/>
        <v>5.8578643762690508</v>
      </c>
      <c r="M8" s="9">
        <f t="shared" si="10"/>
        <v>4.1421356237309492</v>
      </c>
      <c r="N8" s="9">
        <f t="shared" si="11"/>
        <v>2.9289321881345245</v>
      </c>
      <c r="O8" s="20">
        <f t="shared" si="12"/>
        <v>7.0710678118654755</v>
      </c>
    </row>
    <row r="9" spans="1:15" x14ac:dyDescent="0.25">
      <c r="A9" s="40"/>
      <c r="B9" s="7">
        <f t="shared" si="0"/>
        <v>70.710678118654741</v>
      </c>
      <c r="C9" s="7">
        <f t="shared" si="1"/>
        <v>50</v>
      </c>
      <c r="D9" s="7">
        <f t="shared" si="2"/>
        <v>35.355339059327378</v>
      </c>
      <c r="E9" s="11">
        <v>25</v>
      </c>
      <c r="F9" s="7">
        <f t="shared" si="3"/>
        <v>17.677669529663685</v>
      </c>
      <c r="G9" s="7">
        <f t="shared" si="4"/>
        <v>12.5</v>
      </c>
      <c r="H9" s="7">
        <f t="shared" si="5"/>
        <v>8.8388347648318444</v>
      </c>
      <c r="I9" s="16">
        <f t="shared" si="6"/>
        <v>20.710678118654741</v>
      </c>
      <c r="J9" s="7">
        <f t="shared" si="7"/>
        <v>14.644660940672622</v>
      </c>
      <c r="K9" s="7">
        <f t="shared" si="8"/>
        <v>10.355339059327378</v>
      </c>
      <c r="L9" s="11">
        <f t="shared" si="9"/>
        <v>7.3223304703363148</v>
      </c>
      <c r="M9" s="7">
        <f t="shared" si="10"/>
        <v>5.1776695296636852</v>
      </c>
      <c r="N9" s="7">
        <f t="shared" si="11"/>
        <v>3.6611652351681556</v>
      </c>
      <c r="O9" s="18">
        <f t="shared" si="12"/>
        <v>8.8388347648318444</v>
      </c>
    </row>
    <row r="10" spans="1:15" x14ac:dyDescent="0.25">
      <c r="A10" s="40"/>
      <c r="B10" s="9">
        <f t="shared" si="0"/>
        <v>84.852813742385692</v>
      </c>
      <c r="C10" s="9">
        <f t="shared" si="1"/>
        <v>60</v>
      </c>
      <c r="D10" s="9">
        <f t="shared" si="2"/>
        <v>42.426406871192853</v>
      </c>
      <c r="E10" s="10">
        <v>30</v>
      </c>
      <c r="F10" s="9">
        <f t="shared" si="3"/>
        <v>21.213203435596423</v>
      </c>
      <c r="G10" s="9">
        <f t="shared" si="4"/>
        <v>15</v>
      </c>
      <c r="H10" s="9">
        <f t="shared" si="5"/>
        <v>10.606601717798213</v>
      </c>
      <c r="I10" s="17">
        <f t="shared" si="6"/>
        <v>24.852813742385692</v>
      </c>
      <c r="J10" s="9">
        <f t="shared" si="7"/>
        <v>17.573593128807147</v>
      </c>
      <c r="K10" s="9">
        <f t="shared" si="8"/>
        <v>12.426406871192853</v>
      </c>
      <c r="L10" s="10">
        <f t="shared" si="9"/>
        <v>8.786796564403577</v>
      </c>
      <c r="M10" s="9">
        <f t="shared" si="10"/>
        <v>6.213203435596423</v>
      </c>
      <c r="N10" s="9">
        <f t="shared" si="11"/>
        <v>4.3933982822017867</v>
      </c>
      <c r="O10" s="20">
        <f t="shared" si="12"/>
        <v>10.606601717798213</v>
      </c>
    </row>
    <row r="11" spans="1:15" x14ac:dyDescent="0.25">
      <c r="A11" s="40"/>
      <c r="B11" s="7">
        <f t="shared" si="0"/>
        <v>98.994949366116643</v>
      </c>
      <c r="C11" s="7">
        <f t="shared" si="1"/>
        <v>70</v>
      </c>
      <c r="D11" s="7">
        <f t="shared" si="2"/>
        <v>49.497474683058329</v>
      </c>
      <c r="E11" s="11">
        <v>35</v>
      </c>
      <c r="F11" s="7">
        <f t="shared" si="3"/>
        <v>24.748737341529161</v>
      </c>
      <c r="G11" s="7">
        <f t="shared" si="4"/>
        <v>17.5</v>
      </c>
      <c r="H11" s="7">
        <f t="shared" si="5"/>
        <v>12.374368670764582</v>
      </c>
      <c r="I11" s="16">
        <f t="shared" si="6"/>
        <v>28.994949366116643</v>
      </c>
      <c r="J11" s="7">
        <f t="shared" si="7"/>
        <v>20.502525316941671</v>
      </c>
      <c r="K11" s="7">
        <f t="shared" si="8"/>
        <v>14.497474683058329</v>
      </c>
      <c r="L11" s="11">
        <f t="shared" si="9"/>
        <v>10.251262658470839</v>
      </c>
      <c r="M11" s="7">
        <f t="shared" si="10"/>
        <v>7.2487373415291607</v>
      </c>
      <c r="N11" s="7">
        <f t="shared" si="11"/>
        <v>5.1256313292354179</v>
      </c>
      <c r="O11" s="18">
        <f t="shared" si="12"/>
        <v>12.374368670764582</v>
      </c>
    </row>
    <row r="12" spans="1:15" x14ac:dyDescent="0.25">
      <c r="A12" s="40"/>
      <c r="B12" s="9">
        <f t="shared" si="0"/>
        <v>113.13708498984759</v>
      </c>
      <c r="C12" s="9">
        <f t="shared" si="1"/>
        <v>80</v>
      </c>
      <c r="D12" s="9">
        <f t="shared" si="2"/>
        <v>56.568542494923804</v>
      </c>
      <c r="E12" s="10">
        <v>40</v>
      </c>
      <c r="F12" s="9">
        <f t="shared" si="3"/>
        <v>28.284271247461898</v>
      </c>
      <c r="G12" s="9">
        <f t="shared" si="4"/>
        <v>20</v>
      </c>
      <c r="H12" s="9">
        <f t="shared" si="5"/>
        <v>14.142135623730951</v>
      </c>
      <c r="I12" s="17">
        <f t="shared" si="6"/>
        <v>33.137084989847594</v>
      </c>
      <c r="J12" s="9">
        <f t="shared" si="7"/>
        <v>23.431457505076196</v>
      </c>
      <c r="K12" s="9">
        <f t="shared" si="8"/>
        <v>16.568542494923804</v>
      </c>
      <c r="L12" s="10">
        <f t="shared" si="9"/>
        <v>11.715728752538102</v>
      </c>
      <c r="M12" s="9">
        <f t="shared" si="10"/>
        <v>8.2842712474618985</v>
      </c>
      <c r="N12" s="9">
        <f t="shared" si="11"/>
        <v>5.857864376269049</v>
      </c>
      <c r="O12" s="20">
        <f t="shared" si="12"/>
        <v>14.142135623730951</v>
      </c>
    </row>
    <row r="13" spans="1:15" x14ac:dyDescent="0.25">
      <c r="A13" s="40"/>
      <c r="B13" s="7">
        <f t="shared" si="0"/>
        <v>127.27922061357854</v>
      </c>
      <c r="C13" s="7">
        <f t="shared" si="1"/>
        <v>90</v>
      </c>
      <c r="D13" s="7">
        <f t="shared" si="2"/>
        <v>63.63961030678928</v>
      </c>
      <c r="E13" s="11">
        <v>45</v>
      </c>
      <c r="F13" s="7">
        <f t="shared" si="3"/>
        <v>31.819805153394636</v>
      </c>
      <c r="G13" s="7">
        <f t="shared" si="4"/>
        <v>22.5</v>
      </c>
      <c r="H13" s="7">
        <f t="shared" si="5"/>
        <v>15.90990257669732</v>
      </c>
      <c r="I13" s="16">
        <f t="shared" si="6"/>
        <v>37.279220613578545</v>
      </c>
      <c r="J13" s="7">
        <f t="shared" si="7"/>
        <v>26.36038969321072</v>
      </c>
      <c r="K13" s="7">
        <f t="shared" si="8"/>
        <v>18.63961030678928</v>
      </c>
      <c r="L13" s="11">
        <f t="shared" si="9"/>
        <v>13.180194846605364</v>
      </c>
      <c r="M13" s="7">
        <f t="shared" si="10"/>
        <v>9.3198051533946362</v>
      </c>
      <c r="N13" s="7">
        <f t="shared" si="11"/>
        <v>6.5900974233026801</v>
      </c>
      <c r="O13" s="18">
        <f t="shared" si="12"/>
        <v>15.90990257669732</v>
      </c>
    </row>
    <row r="14" spans="1:15" x14ac:dyDescent="0.25">
      <c r="A14" s="40"/>
      <c r="B14" s="9">
        <f t="shared" si="0"/>
        <v>141.42135623730948</v>
      </c>
      <c r="C14" s="9">
        <f t="shared" si="1"/>
        <v>100</v>
      </c>
      <c r="D14" s="9">
        <f t="shared" si="2"/>
        <v>70.710678118654755</v>
      </c>
      <c r="E14" s="10">
        <v>50</v>
      </c>
      <c r="F14" s="9">
        <f t="shared" si="3"/>
        <v>35.35533905932737</v>
      </c>
      <c r="G14" s="9">
        <f t="shared" si="4"/>
        <v>25</v>
      </c>
      <c r="H14" s="9">
        <f t="shared" si="5"/>
        <v>17.677669529663689</v>
      </c>
      <c r="I14" s="17">
        <f t="shared" si="6"/>
        <v>41.421356237309482</v>
      </c>
      <c r="J14" s="9">
        <f t="shared" si="7"/>
        <v>29.289321881345245</v>
      </c>
      <c r="K14" s="9">
        <f t="shared" si="8"/>
        <v>20.710678118654755</v>
      </c>
      <c r="L14" s="10">
        <f t="shared" si="9"/>
        <v>14.64466094067263</v>
      </c>
      <c r="M14" s="9">
        <f t="shared" si="10"/>
        <v>10.35533905932737</v>
      </c>
      <c r="N14" s="9">
        <f t="shared" si="11"/>
        <v>7.3223304703363112</v>
      </c>
      <c r="O14" s="20">
        <f t="shared" si="12"/>
        <v>17.677669529663689</v>
      </c>
    </row>
    <row r="15" spans="1:15" x14ac:dyDescent="0.25">
      <c r="A15" s="40"/>
      <c r="B15" s="7">
        <f t="shared" si="0"/>
        <v>155.56349186104043</v>
      </c>
      <c r="C15" s="7">
        <f t="shared" si="1"/>
        <v>110</v>
      </c>
      <c r="D15" s="7">
        <f t="shared" si="2"/>
        <v>77.781745930520231</v>
      </c>
      <c r="E15" s="11">
        <v>55</v>
      </c>
      <c r="F15" s="7">
        <f t="shared" si="3"/>
        <v>38.890872965260108</v>
      </c>
      <c r="G15" s="7">
        <f t="shared" si="4"/>
        <v>27.5</v>
      </c>
      <c r="H15" s="7">
        <f t="shared" si="5"/>
        <v>19.445436482630058</v>
      </c>
      <c r="I15" s="16">
        <f t="shared" si="6"/>
        <v>45.563491861040433</v>
      </c>
      <c r="J15" s="7">
        <f t="shared" si="7"/>
        <v>32.218254069479769</v>
      </c>
      <c r="K15" s="7">
        <f t="shared" si="8"/>
        <v>22.781745930520231</v>
      </c>
      <c r="L15" s="11">
        <f t="shared" si="9"/>
        <v>16.109127034739892</v>
      </c>
      <c r="M15" s="7">
        <f t="shared" si="10"/>
        <v>11.390872965260108</v>
      </c>
      <c r="N15" s="7">
        <f t="shared" si="11"/>
        <v>8.0545635173699424</v>
      </c>
      <c r="O15" s="18">
        <f t="shared" si="12"/>
        <v>19.445436482630058</v>
      </c>
    </row>
    <row r="16" spans="1:15" x14ac:dyDescent="0.25">
      <c r="A16" s="40"/>
      <c r="B16" s="9">
        <f t="shared" si="0"/>
        <v>169.70562748477138</v>
      </c>
      <c r="C16" s="9">
        <f t="shared" si="1"/>
        <v>120</v>
      </c>
      <c r="D16" s="9">
        <f t="shared" si="2"/>
        <v>84.852813742385706</v>
      </c>
      <c r="E16" s="10">
        <v>60</v>
      </c>
      <c r="F16" s="9">
        <f t="shared" si="3"/>
        <v>42.426406871192846</v>
      </c>
      <c r="G16" s="9">
        <f t="shared" si="4"/>
        <v>30</v>
      </c>
      <c r="H16" s="9">
        <f t="shared" si="5"/>
        <v>21.213203435596427</v>
      </c>
      <c r="I16" s="17">
        <f t="shared" si="6"/>
        <v>49.705627484771384</v>
      </c>
      <c r="J16" s="9">
        <f t="shared" si="7"/>
        <v>35.147186257614294</v>
      </c>
      <c r="K16" s="9">
        <f t="shared" si="8"/>
        <v>24.852813742385706</v>
      </c>
      <c r="L16" s="10">
        <f t="shared" si="9"/>
        <v>17.573593128807154</v>
      </c>
      <c r="M16" s="9">
        <f t="shared" si="10"/>
        <v>12.426406871192846</v>
      </c>
      <c r="N16" s="9">
        <f t="shared" si="11"/>
        <v>8.7867965644035735</v>
      </c>
      <c r="O16" s="20">
        <f t="shared" si="12"/>
        <v>21.213203435596427</v>
      </c>
    </row>
    <row r="17" spans="1:15" x14ac:dyDescent="0.25">
      <c r="A17" s="40"/>
      <c r="B17" s="7">
        <f t="shared" si="0"/>
        <v>197.98989873223329</v>
      </c>
      <c r="C17" s="7">
        <f t="shared" si="1"/>
        <v>140</v>
      </c>
      <c r="D17" s="7">
        <f t="shared" si="2"/>
        <v>98.994949366116657</v>
      </c>
      <c r="E17" s="11">
        <v>70</v>
      </c>
      <c r="F17" s="7">
        <f t="shared" si="3"/>
        <v>49.497474683058321</v>
      </c>
      <c r="G17" s="7">
        <f t="shared" si="4"/>
        <v>35</v>
      </c>
      <c r="H17" s="7">
        <f t="shared" si="5"/>
        <v>24.748737341529164</v>
      </c>
      <c r="I17" s="16">
        <f t="shared" si="6"/>
        <v>57.989898732233286</v>
      </c>
      <c r="J17" s="7">
        <f t="shared" si="7"/>
        <v>41.005050633883343</v>
      </c>
      <c r="K17" s="7">
        <f t="shared" si="8"/>
        <v>28.994949366116657</v>
      </c>
      <c r="L17" s="11">
        <f t="shared" si="9"/>
        <v>20.502525316941679</v>
      </c>
      <c r="M17" s="7">
        <f t="shared" si="10"/>
        <v>14.497474683058321</v>
      </c>
      <c r="N17" s="7">
        <f t="shared" si="11"/>
        <v>10.251262658470836</v>
      </c>
      <c r="O17" s="18">
        <f t="shared" si="12"/>
        <v>24.748737341529164</v>
      </c>
    </row>
    <row r="18" spans="1:15" x14ac:dyDescent="0.25">
      <c r="A18" s="40"/>
      <c r="B18" s="9">
        <f t="shared" si="0"/>
        <v>226.27416997969519</v>
      </c>
      <c r="C18" s="9">
        <f t="shared" si="1"/>
        <v>160</v>
      </c>
      <c r="D18" s="9">
        <f t="shared" si="2"/>
        <v>113.13708498984761</v>
      </c>
      <c r="E18" s="10">
        <v>80</v>
      </c>
      <c r="F18" s="9">
        <f t="shared" si="3"/>
        <v>56.568542494923797</v>
      </c>
      <c r="G18" s="9">
        <f t="shared" si="4"/>
        <v>40</v>
      </c>
      <c r="H18" s="9">
        <f t="shared" si="5"/>
        <v>28.284271247461902</v>
      </c>
      <c r="I18" s="17">
        <f t="shared" si="6"/>
        <v>66.274169979695188</v>
      </c>
      <c r="J18" s="9">
        <f t="shared" si="7"/>
        <v>46.862915010152392</v>
      </c>
      <c r="K18" s="9">
        <f t="shared" si="8"/>
        <v>33.137084989847608</v>
      </c>
      <c r="L18" s="10">
        <f t="shared" si="9"/>
        <v>23.431457505076203</v>
      </c>
      <c r="M18" s="9">
        <f t="shared" si="10"/>
        <v>16.568542494923797</v>
      </c>
      <c r="N18" s="9">
        <f t="shared" si="11"/>
        <v>11.715728752538098</v>
      </c>
      <c r="O18" s="20">
        <f t="shared" si="12"/>
        <v>28.284271247461902</v>
      </c>
    </row>
    <row r="19" spans="1:15" x14ac:dyDescent="0.25">
      <c r="A19" s="40"/>
      <c r="B19" s="7">
        <f t="shared" si="0"/>
        <v>254.55844122715709</v>
      </c>
      <c r="C19" s="7">
        <f t="shared" si="1"/>
        <v>180</v>
      </c>
      <c r="D19" s="7">
        <f t="shared" si="2"/>
        <v>127.27922061357856</v>
      </c>
      <c r="E19" s="11">
        <v>90</v>
      </c>
      <c r="F19" s="7">
        <f t="shared" si="3"/>
        <v>63.639610306789272</v>
      </c>
      <c r="G19" s="7">
        <f t="shared" si="4"/>
        <v>45</v>
      </c>
      <c r="H19" s="7">
        <f t="shared" si="5"/>
        <v>31.81980515339464</v>
      </c>
      <c r="I19" s="16">
        <f t="shared" si="6"/>
        <v>74.55844122715709</v>
      </c>
      <c r="J19" s="7">
        <f t="shared" si="7"/>
        <v>52.720779386421441</v>
      </c>
      <c r="K19" s="7">
        <f t="shared" si="8"/>
        <v>37.279220613578559</v>
      </c>
      <c r="L19" s="11">
        <f t="shared" si="9"/>
        <v>26.360389693210728</v>
      </c>
      <c r="M19" s="7">
        <f t="shared" si="10"/>
        <v>18.639610306789272</v>
      </c>
      <c r="N19" s="7">
        <f t="shared" si="11"/>
        <v>13.18019484660536</v>
      </c>
      <c r="O19" s="18">
        <f t="shared" si="12"/>
        <v>31.81980515339464</v>
      </c>
    </row>
    <row r="20" spans="1:15" ht="15.75" thickBot="1" x14ac:dyDescent="0.3">
      <c r="A20" s="41"/>
      <c r="B20" s="12">
        <f t="shared" si="0"/>
        <v>282.84271247461896</v>
      </c>
      <c r="C20" s="12">
        <f t="shared" si="1"/>
        <v>200</v>
      </c>
      <c r="D20" s="12">
        <f t="shared" si="2"/>
        <v>141.42135623730951</v>
      </c>
      <c r="E20" s="13">
        <v>100</v>
      </c>
      <c r="F20" s="12">
        <f t="shared" si="3"/>
        <v>70.710678118654741</v>
      </c>
      <c r="G20" s="12">
        <f t="shared" si="4"/>
        <v>50</v>
      </c>
      <c r="H20" s="12">
        <f t="shared" si="5"/>
        <v>35.355339059327378</v>
      </c>
      <c r="I20" s="19">
        <f t="shared" si="6"/>
        <v>82.842712474618963</v>
      </c>
      <c r="J20" s="12">
        <f t="shared" si="7"/>
        <v>58.57864376269049</v>
      </c>
      <c r="K20" s="12">
        <f t="shared" si="8"/>
        <v>41.42135623730951</v>
      </c>
      <c r="L20" s="13">
        <f t="shared" si="9"/>
        <v>29.289321881345259</v>
      </c>
      <c r="M20" s="12">
        <f t="shared" si="10"/>
        <v>20.710678118654741</v>
      </c>
      <c r="N20" s="12">
        <f t="shared" si="11"/>
        <v>14.644660940672622</v>
      </c>
      <c r="O20" s="21">
        <f t="shared" si="12"/>
        <v>35.355339059327378</v>
      </c>
    </row>
  </sheetData>
  <mergeCells count="3">
    <mergeCell ref="A1:A20"/>
    <mergeCell ref="B1:H1"/>
    <mergeCell ref="I1:O1"/>
  </mergeCells>
  <printOptions horizontalCentered="1" verticalCentered="1"/>
  <pageMargins left="0.7" right="0.7" top="0.75" bottom="0.75" header="0.3" footer="0.3"/>
  <pageSetup paperSize="22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D04B-CC09-4D15-809F-6069C8BDE2F3}">
  <sheetPr>
    <pageSetUpPr fitToPage="1"/>
  </sheetPr>
  <dimension ref="A1:AG20"/>
  <sheetViews>
    <sheetView tabSelected="1" workbookViewId="0">
      <selection activeCell="D6" sqref="D6"/>
    </sheetView>
  </sheetViews>
  <sheetFormatPr defaultRowHeight="15" x14ac:dyDescent="0.25"/>
  <sheetData>
    <row r="1" spans="1:33" s="1" customFormat="1" ht="15.75" thickBot="1" x14ac:dyDescent="0.3">
      <c r="A1" s="45" t="s">
        <v>4</v>
      </c>
      <c r="B1" s="42" t="s">
        <v>1</v>
      </c>
      <c r="C1" s="42"/>
      <c r="D1" s="42"/>
      <c r="E1" s="42"/>
      <c r="F1" s="42"/>
      <c r="G1" s="42"/>
      <c r="H1" s="42"/>
      <c r="I1" s="43" t="s">
        <v>2</v>
      </c>
      <c r="J1" s="42"/>
      <c r="K1" s="42"/>
      <c r="L1" s="42"/>
      <c r="M1" s="42"/>
      <c r="N1" s="42"/>
      <c r="O1" s="44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s="1" customFormat="1" ht="15.75" thickBot="1" x14ac:dyDescent="0.3">
      <c r="A2" s="46"/>
      <c r="B2" s="5">
        <v>3</v>
      </c>
      <c r="C2" s="6">
        <v>2</v>
      </c>
      <c r="D2" s="5">
        <v>1</v>
      </c>
      <c r="E2" s="6" t="s">
        <v>0</v>
      </c>
      <c r="F2" s="5">
        <v>-1</v>
      </c>
      <c r="G2" s="6">
        <v>-2</v>
      </c>
      <c r="H2" s="5">
        <v>-3</v>
      </c>
      <c r="I2" s="22">
        <v>3</v>
      </c>
      <c r="J2" s="6">
        <v>2</v>
      </c>
      <c r="K2" s="5">
        <v>1</v>
      </c>
      <c r="L2" s="6" t="s">
        <v>0</v>
      </c>
      <c r="M2" s="5">
        <v>-1</v>
      </c>
      <c r="N2" s="6">
        <v>-2</v>
      </c>
      <c r="O2" s="23">
        <v>-3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s="1" customFormat="1" x14ac:dyDescent="0.25">
      <c r="A3" s="46"/>
      <c r="B3" s="7">
        <f t="shared" ref="B3:B20" si="0">E3*2^3</f>
        <v>40</v>
      </c>
      <c r="C3" s="7">
        <f t="shared" ref="C3:C20" si="1">E3*2^2</f>
        <v>20</v>
      </c>
      <c r="D3" s="7">
        <f t="shared" ref="D3:D20" si="2">E3*2^1</f>
        <v>10</v>
      </c>
      <c r="E3" s="8">
        <v>5</v>
      </c>
      <c r="F3" s="7">
        <f t="shared" ref="F3:F20" si="3">E3*2^-1</f>
        <v>2.5</v>
      </c>
      <c r="G3" s="7">
        <f t="shared" ref="G3:G20" si="4">E3*2^-2</f>
        <v>1.25</v>
      </c>
      <c r="H3" s="7">
        <f t="shared" ref="H3:H20" si="5">E3*2^-3</f>
        <v>0.625</v>
      </c>
      <c r="I3" s="16">
        <f t="shared" ref="I3:I20" si="6">B3-C3</f>
        <v>20</v>
      </c>
      <c r="J3" s="7">
        <f t="shared" ref="J3:J20" si="7">C3-D3</f>
        <v>10</v>
      </c>
      <c r="K3" s="7">
        <f t="shared" ref="K3:K20" si="8">D3-E3</f>
        <v>5</v>
      </c>
      <c r="L3" s="11">
        <f t="shared" ref="L3:L20" si="9">E3-F3</f>
        <v>2.5</v>
      </c>
      <c r="M3" s="7">
        <f t="shared" ref="M3:M20" si="10">F3-G3</f>
        <v>1.25</v>
      </c>
      <c r="N3" s="7">
        <f t="shared" ref="N3:N20" si="11">G3-H3</f>
        <v>0.625</v>
      </c>
      <c r="O3" s="18">
        <f t="shared" ref="O3:O20" si="12">H3</f>
        <v>0.625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" customFormat="1" x14ac:dyDescent="0.25">
      <c r="A4" s="46"/>
      <c r="B4" s="9">
        <f t="shared" si="0"/>
        <v>64</v>
      </c>
      <c r="C4" s="9">
        <f t="shared" si="1"/>
        <v>32</v>
      </c>
      <c r="D4" s="9">
        <f t="shared" si="2"/>
        <v>16</v>
      </c>
      <c r="E4" s="10">
        <v>8</v>
      </c>
      <c r="F4" s="9">
        <f t="shared" si="3"/>
        <v>4</v>
      </c>
      <c r="G4" s="9">
        <f t="shared" si="4"/>
        <v>2</v>
      </c>
      <c r="H4" s="9">
        <f t="shared" si="5"/>
        <v>1</v>
      </c>
      <c r="I4" s="17">
        <f t="shared" si="6"/>
        <v>32</v>
      </c>
      <c r="J4" s="9">
        <f t="shared" si="7"/>
        <v>16</v>
      </c>
      <c r="K4" s="9">
        <f t="shared" si="8"/>
        <v>8</v>
      </c>
      <c r="L4" s="10">
        <f t="shared" si="9"/>
        <v>4</v>
      </c>
      <c r="M4" s="9">
        <f t="shared" si="10"/>
        <v>2</v>
      </c>
      <c r="N4" s="9">
        <f t="shared" si="11"/>
        <v>1</v>
      </c>
      <c r="O4" s="20">
        <f t="shared" si="12"/>
        <v>1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s="1" customFormat="1" x14ac:dyDescent="0.25">
      <c r="A5" s="46"/>
      <c r="B5" s="7">
        <f t="shared" si="0"/>
        <v>80</v>
      </c>
      <c r="C5" s="7">
        <f t="shared" si="1"/>
        <v>40</v>
      </c>
      <c r="D5" s="7">
        <f t="shared" si="2"/>
        <v>20</v>
      </c>
      <c r="E5" s="11">
        <v>10</v>
      </c>
      <c r="F5" s="7">
        <f t="shared" si="3"/>
        <v>5</v>
      </c>
      <c r="G5" s="7">
        <f t="shared" si="4"/>
        <v>2.5</v>
      </c>
      <c r="H5" s="7">
        <f t="shared" si="5"/>
        <v>1.25</v>
      </c>
      <c r="I5" s="16">
        <f t="shared" si="6"/>
        <v>40</v>
      </c>
      <c r="J5" s="7">
        <f t="shared" si="7"/>
        <v>20</v>
      </c>
      <c r="K5" s="7">
        <f t="shared" si="8"/>
        <v>10</v>
      </c>
      <c r="L5" s="11">
        <f t="shared" si="9"/>
        <v>5</v>
      </c>
      <c r="M5" s="7">
        <f t="shared" si="10"/>
        <v>2.5</v>
      </c>
      <c r="N5" s="7">
        <f t="shared" si="11"/>
        <v>1.25</v>
      </c>
      <c r="O5" s="18">
        <f t="shared" si="12"/>
        <v>1.25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s="1" customFormat="1" x14ac:dyDescent="0.25">
      <c r="A6" s="46"/>
      <c r="B6" s="9">
        <f t="shared" si="0"/>
        <v>96</v>
      </c>
      <c r="C6" s="9">
        <f t="shared" si="1"/>
        <v>48</v>
      </c>
      <c r="D6" s="9">
        <f>E6*2^1</f>
        <v>24</v>
      </c>
      <c r="E6" s="10">
        <v>12</v>
      </c>
      <c r="F6" s="9">
        <f t="shared" si="3"/>
        <v>6</v>
      </c>
      <c r="G6" s="9">
        <f t="shared" si="4"/>
        <v>3</v>
      </c>
      <c r="H6" s="9">
        <f t="shared" si="5"/>
        <v>1.5</v>
      </c>
      <c r="I6" s="17">
        <f t="shared" si="6"/>
        <v>48</v>
      </c>
      <c r="J6" s="9">
        <f t="shared" si="7"/>
        <v>24</v>
      </c>
      <c r="K6" s="9">
        <f t="shared" si="8"/>
        <v>12</v>
      </c>
      <c r="L6" s="10">
        <f t="shared" si="9"/>
        <v>6</v>
      </c>
      <c r="M6" s="9">
        <f t="shared" si="10"/>
        <v>3</v>
      </c>
      <c r="N6" s="9">
        <f t="shared" si="11"/>
        <v>1.5</v>
      </c>
      <c r="O6" s="20">
        <f t="shared" si="12"/>
        <v>1.5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s="1" customFormat="1" x14ac:dyDescent="0.25">
      <c r="A7" s="46"/>
      <c r="B7" s="7">
        <f t="shared" si="0"/>
        <v>120</v>
      </c>
      <c r="C7" s="7">
        <f t="shared" si="1"/>
        <v>60</v>
      </c>
      <c r="D7" s="7">
        <f t="shared" si="2"/>
        <v>30</v>
      </c>
      <c r="E7" s="11">
        <v>15</v>
      </c>
      <c r="F7" s="7">
        <f t="shared" si="3"/>
        <v>7.5</v>
      </c>
      <c r="G7" s="7">
        <f t="shared" si="4"/>
        <v>3.75</v>
      </c>
      <c r="H7" s="7">
        <f t="shared" si="5"/>
        <v>1.875</v>
      </c>
      <c r="I7" s="16">
        <f t="shared" si="6"/>
        <v>60</v>
      </c>
      <c r="J7" s="7">
        <f t="shared" si="7"/>
        <v>30</v>
      </c>
      <c r="K7" s="7">
        <f t="shared" si="8"/>
        <v>15</v>
      </c>
      <c r="L7" s="11">
        <f t="shared" si="9"/>
        <v>7.5</v>
      </c>
      <c r="M7" s="7">
        <f t="shared" si="10"/>
        <v>3.75</v>
      </c>
      <c r="N7" s="7">
        <f t="shared" si="11"/>
        <v>1.875</v>
      </c>
      <c r="O7" s="18">
        <f t="shared" si="12"/>
        <v>1.875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s="1" customFormat="1" x14ac:dyDescent="0.25">
      <c r="A8" s="46"/>
      <c r="B8" s="9">
        <f t="shared" si="0"/>
        <v>160</v>
      </c>
      <c r="C8" s="9">
        <f t="shared" si="1"/>
        <v>80</v>
      </c>
      <c r="D8" s="9">
        <f t="shared" si="2"/>
        <v>40</v>
      </c>
      <c r="E8" s="10">
        <v>20</v>
      </c>
      <c r="F8" s="9">
        <f t="shared" si="3"/>
        <v>10</v>
      </c>
      <c r="G8" s="9">
        <f t="shared" si="4"/>
        <v>5</v>
      </c>
      <c r="H8" s="9">
        <f t="shared" si="5"/>
        <v>2.5</v>
      </c>
      <c r="I8" s="17">
        <f t="shared" si="6"/>
        <v>80</v>
      </c>
      <c r="J8" s="9">
        <f t="shared" si="7"/>
        <v>40</v>
      </c>
      <c r="K8" s="9">
        <f t="shared" si="8"/>
        <v>20</v>
      </c>
      <c r="L8" s="10">
        <f t="shared" si="9"/>
        <v>10</v>
      </c>
      <c r="M8" s="9">
        <f t="shared" si="10"/>
        <v>5</v>
      </c>
      <c r="N8" s="9">
        <f t="shared" si="11"/>
        <v>2.5</v>
      </c>
      <c r="O8" s="20">
        <f t="shared" si="12"/>
        <v>2.5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s="1" customFormat="1" x14ac:dyDescent="0.25">
      <c r="A9" s="46"/>
      <c r="B9" s="7">
        <f t="shared" si="0"/>
        <v>200</v>
      </c>
      <c r="C9" s="7">
        <f t="shared" si="1"/>
        <v>100</v>
      </c>
      <c r="D9" s="7">
        <f t="shared" si="2"/>
        <v>50</v>
      </c>
      <c r="E9" s="11">
        <v>25</v>
      </c>
      <c r="F9" s="7">
        <f t="shared" si="3"/>
        <v>12.5</v>
      </c>
      <c r="G9" s="7">
        <f t="shared" si="4"/>
        <v>6.25</v>
      </c>
      <c r="H9" s="7">
        <f t="shared" si="5"/>
        <v>3.125</v>
      </c>
      <c r="I9" s="16">
        <f t="shared" si="6"/>
        <v>100</v>
      </c>
      <c r="J9" s="7">
        <f t="shared" si="7"/>
        <v>50</v>
      </c>
      <c r="K9" s="7">
        <f t="shared" si="8"/>
        <v>25</v>
      </c>
      <c r="L9" s="11">
        <f t="shared" si="9"/>
        <v>12.5</v>
      </c>
      <c r="M9" s="7">
        <f t="shared" si="10"/>
        <v>6.25</v>
      </c>
      <c r="N9" s="7">
        <f t="shared" si="11"/>
        <v>3.125</v>
      </c>
      <c r="O9" s="18">
        <f t="shared" si="12"/>
        <v>3.125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s="1" customFormat="1" x14ac:dyDescent="0.25">
      <c r="A10" s="46"/>
      <c r="B10" s="9">
        <f t="shared" si="0"/>
        <v>240</v>
      </c>
      <c r="C10" s="9">
        <f t="shared" si="1"/>
        <v>120</v>
      </c>
      <c r="D10" s="9">
        <f t="shared" si="2"/>
        <v>60</v>
      </c>
      <c r="E10" s="10">
        <v>30</v>
      </c>
      <c r="F10" s="9">
        <f t="shared" si="3"/>
        <v>15</v>
      </c>
      <c r="G10" s="9">
        <f t="shared" si="4"/>
        <v>7.5</v>
      </c>
      <c r="H10" s="9">
        <f t="shared" si="5"/>
        <v>3.75</v>
      </c>
      <c r="I10" s="17">
        <f t="shared" si="6"/>
        <v>120</v>
      </c>
      <c r="J10" s="9">
        <f t="shared" si="7"/>
        <v>60</v>
      </c>
      <c r="K10" s="9">
        <f t="shared" si="8"/>
        <v>30</v>
      </c>
      <c r="L10" s="10">
        <f t="shared" si="9"/>
        <v>15</v>
      </c>
      <c r="M10" s="9">
        <f t="shared" si="10"/>
        <v>7.5</v>
      </c>
      <c r="N10" s="9">
        <f t="shared" si="11"/>
        <v>3.75</v>
      </c>
      <c r="O10" s="20">
        <f t="shared" si="12"/>
        <v>3.75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1" customFormat="1" x14ac:dyDescent="0.25">
      <c r="A11" s="46"/>
      <c r="B11" s="7">
        <f t="shared" si="0"/>
        <v>280</v>
      </c>
      <c r="C11" s="7">
        <f t="shared" si="1"/>
        <v>140</v>
      </c>
      <c r="D11" s="7">
        <f t="shared" si="2"/>
        <v>70</v>
      </c>
      <c r="E11" s="11">
        <v>35</v>
      </c>
      <c r="F11" s="7">
        <f t="shared" si="3"/>
        <v>17.5</v>
      </c>
      <c r="G11" s="7">
        <f t="shared" si="4"/>
        <v>8.75</v>
      </c>
      <c r="H11" s="7">
        <f t="shared" si="5"/>
        <v>4.375</v>
      </c>
      <c r="I11" s="16">
        <f t="shared" si="6"/>
        <v>140</v>
      </c>
      <c r="J11" s="7">
        <f t="shared" si="7"/>
        <v>70</v>
      </c>
      <c r="K11" s="7">
        <f t="shared" si="8"/>
        <v>35</v>
      </c>
      <c r="L11" s="11">
        <f t="shared" si="9"/>
        <v>17.5</v>
      </c>
      <c r="M11" s="7">
        <f t="shared" si="10"/>
        <v>8.75</v>
      </c>
      <c r="N11" s="7">
        <f t="shared" si="11"/>
        <v>4.375</v>
      </c>
      <c r="O11" s="18">
        <f t="shared" si="12"/>
        <v>4.375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s="1" customFormat="1" x14ac:dyDescent="0.25">
      <c r="A12" s="46"/>
      <c r="B12" s="9">
        <f t="shared" si="0"/>
        <v>320</v>
      </c>
      <c r="C12" s="9">
        <f t="shared" si="1"/>
        <v>160</v>
      </c>
      <c r="D12" s="9">
        <f t="shared" si="2"/>
        <v>80</v>
      </c>
      <c r="E12" s="10">
        <v>40</v>
      </c>
      <c r="F12" s="9">
        <f t="shared" si="3"/>
        <v>20</v>
      </c>
      <c r="G12" s="9">
        <f t="shared" si="4"/>
        <v>10</v>
      </c>
      <c r="H12" s="9">
        <f t="shared" si="5"/>
        <v>5</v>
      </c>
      <c r="I12" s="17">
        <f t="shared" si="6"/>
        <v>160</v>
      </c>
      <c r="J12" s="9">
        <f t="shared" si="7"/>
        <v>80</v>
      </c>
      <c r="K12" s="9">
        <f t="shared" si="8"/>
        <v>40</v>
      </c>
      <c r="L12" s="10">
        <f t="shared" si="9"/>
        <v>20</v>
      </c>
      <c r="M12" s="9">
        <f t="shared" si="10"/>
        <v>10</v>
      </c>
      <c r="N12" s="9">
        <f t="shared" si="11"/>
        <v>5</v>
      </c>
      <c r="O12" s="20">
        <f t="shared" si="12"/>
        <v>5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1" customFormat="1" x14ac:dyDescent="0.25">
      <c r="A13" s="46"/>
      <c r="B13" s="7">
        <f t="shared" si="0"/>
        <v>360</v>
      </c>
      <c r="C13" s="7">
        <f t="shared" si="1"/>
        <v>180</v>
      </c>
      <c r="D13" s="7">
        <f t="shared" si="2"/>
        <v>90</v>
      </c>
      <c r="E13" s="11">
        <v>45</v>
      </c>
      <c r="F13" s="7">
        <f t="shared" si="3"/>
        <v>22.5</v>
      </c>
      <c r="G13" s="7">
        <f t="shared" si="4"/>
        <v>11.25</v>
      </c>
      <c r="H13" s="7">
        <f t="shared" si="5"/>
        <v>5.625</v>
      </c>
      <c r="I13" s="16">
        <f t="shared" si="6"/>
        <v>180</v>
      </c>
      <c r="J13" s="7">
        <f t="shared" si="7"/>
        <v>90</v>
      </c>
      <c r="K13" s="7">
        <f t="shared" si="8"/>
        <v>45</v>
      </c>
      <c r="L13" s="11">
        <f t="shared" si="9"/>
        <v>22.5</v>
      </c>
      <c r="M13" s="7">
        <f t="shared" si="10"/>
        <v>11.25</v>
      </c>
      <c r="N13" s="7">
        <f t="shared" si="11"/>
        <v>5.625</v>
      </c>
      <c r="O13" s="18">
        <f t="shared" si="12"/>
        <v>5.625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s="1" customFormat="1" x14ac:dyDescent="0.25">
      <c r="A14" s="46"/>
      <c r="B14" s="9">
        <f t="shared" si="0"/>
        <v>400</v>
      </c>
      <c r="C14" s="9">
        <f t="shared" si="1"/>
        <v>200</v>
      </c>
      <c r="D14" s="9">
        <f t="shared" si="2"/>
        <v>100</v>
      </c>
      <c r="E14" s="10">
        <v>50</v>
      </c>
      <c r="F14" s="9">
        <f t="shared" si="3"/>
        <v>25</v>
      </c>
      <c r="G14" s="9">
        <f t="shared" si="4"/>
        <v>12.5</v>
      </c>
      <c r="H14" s="9">
        <f t="shared" si="5"/>
        <v>6.25</v>
      </c>
      <c r="I14" s="17">
        <f t="shared" si="6"/>
        <v>200</v>
      </c>
      <c r="J14" s="9">
        <f t="shared" si="7"/>
        <v>100</v>
      </c>
      <c r="K14" s="9">
        <f t="shared" si="8"/>
        <v>50</v>
      </c>
      <c r="L14" s="10">
        <f t="shared" si="9"/>
        <v>25</v>
      </c>
      <c r="M14" s="9">
        <f t="shared" si="10"/>
        <v>12.5</v>
      </c>
      <c r="N14" s="9">
        <f t="shared" si="11"/>
        <v>6.25</v>
      </c>
      <c r="O14" s="20">
        <f t="shared" si="12"/>
        <v>6.25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s="1" customFormat="1" x14ac:dyDescent="0.25">
      <c r="A15" s="46"/>
      <c r="B15" s="7">
        <f t="shared" si="0"/>
        <v>440</v>
      </c>
      <c r="C15" s="7">
        <f t="shared" si="1"/>
        <v>220</v>
      </c>
      <c r="D15" s="7">
        <f t="shared" si="2"/>
        <v>110</v>
      </c>
      <c r="E15" s="11">
        <v>55</v>
      </c>
      <c r="F15" s="7">
        <f t="shared" si="3"/>
        <v>27.5</v>
      </c>
      <c r="G15" s="7">
        <f t="shared" si="4"/>
        <v>13.75</v>
      </c>
      <c r="H15" s="7">
        <f t="shared" si="5"/>
        <v>6.875</v>
      </c>
      <c r="I15" s="16">
        <f t="shared" si="6"/>
        <v>220</v>
      </c>
      <c r="J15" s="7">
        <f t="shared" si="7"/>
        <v>110</v>
      </c>
      <c r="K15" s="7">
        <f t="shared" si="8"/>
        <v>55</v>
      </c>
      <c r="L15" s="11">
        <f t="shared" si="9"/>
        <v>27.5</v>
      </c>
      <c r="M15" s="7">
        <f t="shared" si="10"/>
        <v>13.75</v>
      </c>
      <c r="N15" s="7">
        <f t="shared" si="11"/>
        <v>6.875</v>
      </c>
      <c r="O15" s="18">
        <f t="shared" si="12"/>
        <v>6.875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s="1" customFormat="1" x14ac:dyDescent="0.25">
      <c r="A16" s="46"/>
      <c r="B16" s="9">
        <f t="shared" si="0"/>
        <v>480</v>
      </c>
      <c r="C16" s="9">
        <f t="shared" si="1"/>
        <v>240</v>
      </c>
      <c r="D16" s="9">
        <f t="shared" si="2"/>
        <v>120</v>
      </c>
      <c r="E16" s="10">
        <v>60</v>
      </c>
      <c r="F16" s="9">
        <f t="shared" si="3"/>
        <v>30</v>
      </c>
      <c r="G16" s="9">
        <f t="shared" si="4"/>
        <v>15</v>
      </c>
      <c r="H16" s="9">
        <f t="shared" si="5"/>
        <v>7.5</v>
      </c>
      <c r="I16" s="17">
        <f t="shared" si="6"/>
        <v>240</v>
      </c>
      <c r="J16" s="9">
        <f t="shared" si="7"/>
        <v>120</v>
      </c>
      <c r="K16" s="9">
        <f t="shared" si="8"/>
        <v>60</v>
      </c>
      <c r="L16" s="10">
        <f t="shared" si="9"/>
        <v>30</v>
      </c>
      <c r="M16" s="9">
        <f t="shared" si="10"/>
        <v>15</v>
      </c>
      <c r="N16" s="9">
        <f t="shared" si="11"/>
        <v>7.5</v>
      </c>
      <c r="O16" s="20">
        <f t="shared" si="12"/>
        <v>7.5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s="1" customFormat="1" x14ac:dyDescent="0.25">
      <c r="A17" s="46"/>
      <c r="B17" s="7">
        <f t="shared" si="0"/>
        <v>560</v>
      </c>
      <c r="C17" s="7">
        <f t="shared" si="1"/>
        <v>280</v>
      </c>
      <c r="D17" s="7">
        <f t="shared" si="2"/>
        <v>140</v>
      </c>
      <c r="E17" s="11">
        <v>70</v>
      </c>
      <c r="F17" s="7">
        <f t="shared" si="3"/>
        <v>35</v>
      </c>
      <c r="G17" s="7">
        <f t="shared" si="4"/>
        <v>17.5</v>
      </c>
      <c r="H17" s="7">
        <f t="shared" si="5"/>
        <v>8.75</v>
      </c>
      <c r="I17" s="16">
        <f t="shared" si="6"/>
        <v>280</v>
      </c>
      <c r="J17" s="7">
        <f t="shared" si="7"/>
        <v>140</v>
      </c>
      <c r="K17" s="7">
        <f t="shared" si="8"/>
        <v>70</v>
      </c>
      <c r="L17" s="11">
        <f t="shared" si="9"/>
        <v>35</v>
      </c>
      <c r="M17" s="7">
        <f t="shared" si="10"/>
        <v>17.5</v>
      </c>
      <c r="N17" s="7">
        <f t="shared" si="11"/>
        <v>8.75</v>
      </c>
      <c r="O17" s="18">
        <f t="shared" si="12"/>
        <v>8.75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s="1" customFormat="1" x14ac:dyDescent="0.25">
      <c r="A18" s="46"/>
      <c r="B18" s="9">
        <f t="shared" si="0"/>
        <v>640</v>
      </c>
      <c r="C18" s="9">
        <f t="shared" si="1"/>
        <v>320</v>
      </c>
      <c r="D18" s="9">
        <f t="shared" si="2"/>
        <v>160</v>
      </c>
      <c r="E18" s="10">
        <v>80</v>
      </c>
      <c r="F18" s="9">
        <f t="shared" si="3"/>
        <v>40</v>
      </c>
      <c r="G18" s="9">
        <f t="shared" si="4"/>
        <v>20</v>
      </c>
      <c r="H18" s="9">
        <f t="shared" si="5"/>
        <v>10</v>
      </c>
      <c r="I18" s="17">
        <f t="shared" si="6"/>
        <v>320</v>
      </c>
      <c r="J18" s="9">
        <f t="shared" si="7"/>
        <v>160</v>
      </c>
      <c r="K18" s="9">
        <f t="shared" si="8"/>
        <v>80</v>
      </c>
      <c r="L18" s="10">
        <f t="shared" si="9"/>
        <v>40</v>
      </c>
      <c r="M18" s="9">
        <f t="shared" si="10"/>
        <v>20</v>
      </c>
      <c r="N18" s="9">
        <f t="shared" si="11"/>
        <v>10</v>
      </c>
      <c r="O18" s="20">
        <f t="shared" si="12"/>
        <v>10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1" customFormat="1" x14ac:dyDescent="0.25">
      <c r="A19" s="46"/>
      <c r="B19" s="7">
        <f t="shared" si="0"/>
        <v>720</v>
      </c>
      <c r="C19" s="7">
        <f t="shared" si="1"/>
        <v>360</v>
      </c>
      <c r="D19" s="7">
        <f t="shared" si="2"/>
        <v>180</v>
      </c>
      <c r="E19" s="11">
        <v>90</v>
      </c>
      <c r="F19" s="7">
        <f t="shared" si="3"/>
        <v>45</v>
      </c>
      <c r="G19" s="7">
        <f t="shared" si="4"/>
        <v>22.5</v>
      </c>
      <c r="H19" s="7">
        <f t="shared" si="5"/>
        <v>11.25</v>
      </c>
      <c r="I19" s="16">
        <f t="shared" si="6"/>
        <v>360</v>
      </c>
      <c r="J19" s="7">
        <f t="shared" si="7"/>
        <v>180</v>
      </c>
      <c r="K19" s="7">
        <f t="shared" si="8"/>
        <v>90</v>
      </c>
      <c r="L19" s="11">
        <f t="shared" si="9"/>
        <v>45</v>
      </c>
      <c r="M19" s="7">
        <f t="shared" si="10"/>
        <v>22.5</v>
      </c>
      <c r="N19" s="7">
        <f t="shared" si="11"/>
        <v>11.25</v>
      </c>
      <c r="O19" s="18">
        <f t="shared" si="12"/>
        <v>11.25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s="1" customFormat="1" ht="15.75" thickBot="1" x14ac:dyDescent="0.3">
      <c r="A20" s="47"/>
      <c r="B20" s="12">
        <f t="shared" si="0"/>
        <v>800</v>
      </c>
      <c r="C20" s="12">
        <f t="shared" si="1"/>
        <v>400</v>
      </c>
      <c r="D20" s="12">
        <f t="shared" si="2"/>
        <v>200</v>
      </c>
      <c r="E20" s="13">
        <v>100</v>
      </c>
      <c r="F20" s="12">
        <f t="shared" si="3"/>
        <v>50</v>
      </c>
      <c r="G20" s="12">
        <f t="shared" si="4"/>
        <v>25</v>
      </c>
      <c r="H20" s="12">
        <f t="shared" si="5"/>
        <v>12.5</v>
      </c>
      <c r="I20" s="19">
        <f t="shared" si="6"/>
        <v>400</v>
      </c>
      <c r="J20" s="12">
        <f t="shared" si="7"/>
        <v>200</v>
      </c>
      <c r="K20" s="12">
        <f t="shared" si="8"/>
        <v>100</v>
      </c>
      <c r="L20" s="13">
        <f t="shared" si="9"/>
        <v>50</v>
      </c>
      <c r="M20" s="12">
        <f t="shared" si="10"/>
        <v>25</v>
      </c>
      <c r="N20" s="12">
        <f t="shared" si="11"/>
        <v>12.5</v>
      </c>
      <c r="O20" s="21">
        <f t="shared" si="12"/>
        <v>12.5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</sheetData>
  <mergeCells count="3">
    <mergeCell ref="I1:O1"/>
    <mergeCell ref="A1:A20"/>
    <mergeCell ref="B1:H1"/>
  </mergeCells>
  <printOptions horizontalCentered="1" verticalCentered="1"/>
  <pageMargins left="0.7" right="0.7" top="0.75" bottom="0.75" header="0.3" footer="0.3"/>
  <pageSetup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3840-B9B2-4DE9-B0E2-680A8A9221E5}">
  <dimension ref="A1:C11"/>
  <sheetViews>
    <sheetView workbookViewId="0">
      <selection activeCell="A2" sqref="A2"/>
    </sheetView>
  </sheetViews>
  <sheetFormatPr defaultRowHeight="15" x14ac:dyDescent="0.25"/>
  <cols>
    <col min="1" max="1" width="11.28515625" style="25" bestFit="1" customWidth="1"/>
  </cols>
  <sheetData>
    <row r="1" spans="1:3" x14ac:dyDescent="0.25">
      <c r="A1" s="24" t="s">
        <v>7</v>
      </c>
      <c r="C1" s="3" t="s">
        <v>9</v>
      </c>
    </row>
    <row r="2" spans="1:3" x14ac:dyDescent="0.25">
      <c r="A2" s="25">
        <v>0.1</v>
      </c>
      <c r="C2">
        <v>2</v>
      </c>
    </row>
    <row r="3" spans="1:3" x14ac:dyDescent="0.25">
      <c r="A3" s="25">
        <v>0.2</v>
      </c>
      <c r="C3">
        <v>3</v>
      </c>
    </row>
    <row r="4" spans="1:3" x14ac:dyDescent="0.25">
      <c r="A4" s="25">
        <v>0.3</v>
      </c>
      <c r="C4">
        <v>4</v>
      </c>
    </row>
    <row r="5" spans="1:3" x14ac:dyDescent="0.25">
      <c r="A5" s="25">
        <v>0.5</v>
      </c>
      <c r="C5">
        <v>5</v>
      </c>
    </row>
    <row r="6" spans="1:3" x14ac:dyDescent="0.25">
      <c r="A6" s="25">
        <v>1</v>
      </c>
      <c r="C6">
        <v>6</v>
      </c>
    </row>
    <row r="7" spans="1:3" x14ac:dyDescent="0.25">
      <c r="A7" s="25">
        <v>2</v>
      </c>
      <c r="C7">
        <v>7</v>
      </c>
    </row>
    <row r="8" spans="1:3" x14ac:dyDescent="0.25">
      <c r="C8">
        <v>8</v>
      </c>
    </row>
    <row r="9" spans="1:3" x14ac:dyDescent="0.25">
      <c r="C9">
        <v>9</v>
      </c>
    </row>
    <row r="10" spans="1:3" x14ac:dyDescent="0.25">
      <c r="C10">
        <v>10</v>
      </c>
    </row>
    <row r="11" spans="1:3" x14ac:dyDescent="0.25">
      <c r="C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Half-Stop Chart</vt:lpstr>
      <vt:lpstr>Full-Stop Chart</vt:lpstr>
      <vt:lpstr>Increments and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Benjamin W.</dc:creator>
  <cp:lastModifiedBy>King, Benjamin W.</cp:lastModifiedBy>
  <cp:lastPrinted>2026-04-21T19:31:49Z</cp:lastPrinted>
  <dcterms:created xsi:type="dcterms:W3CDTF">2026-03-28T20:26:33Z</dcterms:created>
  <dcterms:modified xsi:type="dcterms:W3CDTF">2026-04-23T19:22:43Z</dcterms:modified>
</cp:coreProperties>
</file>